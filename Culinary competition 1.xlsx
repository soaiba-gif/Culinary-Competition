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<sst xmlns="http://schemas.openxmlformats.org/spreadsheetml/2006/main" count="258" uniqueCount="131">
  <si>
    <r>
      <rPr>
        <sz val="22"/>
        <color theme="1"/>
        <rFont val="Times New Roman"/>
        <charset val="134"/>
      </rPr>
      <t>Applicant data</t>
    </r>
    <r>
      <rPr>
        <sz val="11"/>
        <color theme="1"/>
        <rFont val="Times New Roman"/>
        <charset val="134"/>
      </rPr>
      <t xml:space="preserve"> </t>
    </r>
  </si>
  <si>
    <t>Competition stats</t>
  </si>
  <si>
    <t xml:space="preserve">Top 5 </t>
  </si>
  <si>
    <t>No. of candidate</t>
  </si>
  <si>
    <t>Name</t>
  </si>
  <si>
    <t>Email</t>
  </si>
  <si>
    <t>Age</t>
  </si>
  <si>
    <t>Categories</t>
  </si>
  <si>
    <t>Dish Name</t>
  </si>
  <si>
    <t>Acceptance</t>
  </si>
  <si>
    <t>chef ID</t>
  </si>
  <si>
    <t>Compitition Dish</t>
  </si>
  <si>
    <t>Compitition</t>
  </si>
  <si>
    <t>Total (20 marks)</t>
  </si>
  <si>
    <t>rank</t>
  </si>
  <si>
    <t xml:space="preserve">Name </t>
  </si>
  <si>
    <t>Marks</t>
  </si>
  <si>
    <t>Taste ( 8 marks)</t>
  </si>
  <si>
    <t>Indredients (6 marks)</t>
  </si>
  <si>
    <t>Creativity (6 marks)</t>
  </si>
  <si>
    <t>Ali Khan</t>
  </si>
  <si>
    <t>alikhan@gmail.com</t>
  </si>
  <si>
    <t>Student Chef</t>
  </si>
  <si>
    <t>Chicken Biryani</t>
  </si>
  <si>
    <t>Accepted</t>
  </si>
  <si>
    <t>CH25_01</t>
  </si>
  <si>
    <t>CH25_08</t>
  </si>
  <si>
    <t>Taiba Tariq</t>
  </si>
  <si>
    <t>taiba123@gmail.com</t>
  </si>
  <si>
    <t>Ayesha Malik</t>
  </si>
  <si>
    <t>ayesha.malik@gmail.com</t>
  </si>
  <si>
    <t>Home Chef</t>
  </si>
  <si>
    <t>Beef Karahi</t>
  </si>
  <si>
    <t>Rejected</t>
  </si>
  <si>
    <t>CH25_02</t>
  </si>
  <si>
    <t>Hassan Raza</t>
  </si>
  <si>
    <t>Chicken Handi</t>
  </si>
  <si>
    <t>CH25_04</t>
  </si>
  <si>
    <t>Sara Sheikh</t>
  </si>
  <si>
    <t>sara.sheikh@gmail.com</t>
  </si>
  <si>
    <t>hassan.raza@gmail.com</t>
  </si>
  <si>
    <t>CH25_03</t>
  </si>
  <si>
    <t>Fatima Noor</t>
  </si>
  <si>
    <t>Vegetable Pulao</t>
  </si>
  <si>
    <t>CH25_16</t>
  </si>
  <si>
    <t>Noor Fatima</t>
  </si>
  <si>
    <t>noor.fatima@gmail.com</t>
  </si>
  <si>
    <t>fatima.noor@gmail.com</t>
  </si>
  <si>
    <t>Chicken Tikka</t>
  </si>
  <si>
    <t>CH25_17</t>
  </si>
  <si>
    <t>Rabia Iftikhar</t>
  </si>
  <si>
    <t>zsaif4296@gmail.com</t>
  </si>
  <si>
    <t>Usman Ahmed</t>
  </si>
  <si>
    <t>usman.ahmed@gmail.com</t>
  </si>
  <si>
    <t>Mutton Korma</t>
  </si>
  <si>
    <t>CH25_05</t>
  </si>
  <si>
    <t>Bilal Hussain</t>
  </si>
  <si>
    <t>CH25_14</t>
  </si>
  <si>
    <t>Sahar</t>
  </si>
  <si>
    <t>saharrabbani77@gmail.com</t>
  </si>
  <si>
    <t>hira.iqbal@gmail.com</t>
  </si>
  <si>
    <t>CH25_06</t>
  </si>
  <si>
    <t>Saad Ali</t>
  </si>
  <si>
    <t>Seekh Kabab</t>
  </si>
  <si>
    <t>bilal.hussain@gmail.com</t>
  </si>
  <si>
    <t>Professional Chef</t>
  </si>
  <si>
    <t>CH25_07</t>
  </si>
  <si>
    <t>Zainab Rauf</t>
  </si>
  <si>
    <t>White Chicken Karahi</t>
  </si>
  <si>
    <t>Hira Iqbal</t>
  </si>
  <si>
    <t>Chicken Shawarma</t>
  </si>
  <si>
    <t>Nihari</t>
  </si>
  <si>
    <t>saad.ali@gmail.com</t>
  </si>
  <si>
    <t>CH25_09</t>
  </si>
  <si>
    <t>Ghazanfar</t>
  </si>
  <si>
    <t>Chinese Rice</t>
  </si>
  <si>
    <t>zainab.rauf@gmail.com</t>
  </si>
  <si>
    <t>CH25_10</t>
  </si>
  <si>
    <t>Hamza Tariq</t>
  </si>
  <si>
    <t>Grilled Chicken</t>
  </si>
  <si>
    <t>CH25_11</t>
  </si>
  <si>
    <t>Anum Yousaf</t>
  </si>
  <si>
    <t>Chicken Fried Rice</t>
  </si>
  <si>
    <t>Maham Siddiqui</t>
  </si>
  <si>
    <t>maham.s@gmail.com</t>
  </si>
  <si>
    <t>Chicken Alfredo Pasta</t>
  </si>
  <si>
    <t>CH25_12</t>
  </si>
  <si>
    <t>Humna muhammad</t>
  </si>
  <si>
    <t>chapli kabab</t>
  </si>
  <si>
    <t>Danish Mehmood</t>
  </si>
  <si>
    <t>danish.mehmood@gmail.com</t>
  </si>
  <si>
    <t>Beef Biryani</t>
  </si>
  <si>
    <t>CH25_13</t>
  </si>
  <si>
    <t>Umaima Ashraf</t>
  </si>
  <si>
    <t>Chicken Nuggets</t>
  </si>
  <si>
    <t>hamza.tariq@gmail.com</t>
  </si>
  <si>
    <t>CH25_15</t>
  </si>
  <si>
    <t>Iqra Faiz</t>
  </si>
  <si>
    <t>Noodles</t>
  </si>
  <si>
    <t>Laiba Khalid</t>
  </si>
  <si>
    <t>laiba.khalid@gmail.com</t>
  </si>
  <si>
    <t>Zinger Burger</t>
  </si>
  <si>
    <t>Shahzaib Khan</t>
  </si>
  <si>
    <t>shahzaib.k@gmail.com</t>
  </si>
  <si>
    <t>Peshawari Karahi</t>
  </si>
  <si>
    <t>anum.yousaf@gmail.com</t>
  </si>
  <si>
    <t>Malai Boti</t>
  </si>
  <si>
    <t>CH25_18</t>
  </si>
  <si>
    <t>Sameera</t>
  </si>
  <si>
    <t>Ibrahim Shah</t>
  </si>
  <si>
    <t>ibrahim.shah@gmail.com</t>
  </si>
  <si>
    <t>CH25_19</t>
  </si>
  <si>
    <t>Bushra</t>
  </si>
  <si>
    <t>Shariq Khan</t>
  </si>
  <si>
    <t>shariqmuzahir@gmail.com</t>
  </si>
  <si>
    <t>CH25_20</t>
  </si>
  <si>
    <t>Amna batool</t>
  </si>
  <si>
    <t>barbeque</t>
  </si>
  <si>
    <t>hamnamuhammad281@gmail.com</t>
  </si>
  <si>
    <t>umaimaa818@gmail.com</t>
  </si>
  <si>
    <t>Hafsa</t>
  </si>
  <si>
    <t>hafsahamza052@gmail.com</t>
  </si>
  <si>
    <t>iqrafaiz011@gmail.com</t>
  </si>
  <si>
    <t>Zaineb</t>
  </si>
  <si>
    <t>zainebbasif@gmail.com</t>
  </si>
  <si>
    <t>gazanfara5511@gmail.com</t>
  </si>
  <si>
    <t>Fadil Muzahir</t>
  </si>
  <si>
    <t>fadilkhan546@gmail.com</t>
  </si>
  <si>
    <t>smr066866@gmail.com</t>
  </si>
  <si>
    <t>bushrarahman@gmail.com</t>
  </si>
  <si>
    <t>ak8980426@gmail.com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</si>
</sst>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242424"/>
      <name val="Times New Roman"/>
      <charset val="134"/>
    </font>
    <font>
      <sz val="2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399975585192419"/>
        <bgColor rgb="FF000000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rgb="FF5FB723"/>
      </left>
      <right/>
      <top style="thick">
        <color rgb="FF5FB723"/>
      </top>
      <bottom/>
      <diagonal/>
    </border>
    <border>
      <left/>
      <right/>
      <top style="thick">
        <color rgb="FF5FB723"/>
      </top>
      <bottom/>
      <diagonal/>
    </border>
    <border>
      <left/>
      <right style="thick">
        <color rgb="FF5FB723"/>
      </right>
      <top style="thick">
        <color rgb="FF5FB723"/>
      </top>
      <bottom/>
      <diagonal/>
    </border>
    <border>
      <left style="thick">
        <color rgb="FF5FB723"/>
      </left>
      <right/>
      <top/>
      <bottom/>
      <diagonal/>
    </border>
    <border>
      <left/>
      <right style="thick">
        <color rgb="FF5FB723"/>
      </right>
      <top/>
      <bottom/>
      <diagonal/>
    </border>
    <border>
      <left style="thick">
        <color rgb="FF5FB723"/>
      </left>
      <right/>
      <top/>
      <bottom style="double">
        <color rgb="FF5FB723"/>
      </bottom>
      <diagonal/>
    </border>
    <border>
      <left/>
      <right/>
      <top/>
      <bottom style="double">
        <color rgb="FF5FB723"/>
      </bottom>
      <diagonal/>
    </border>
    <border>
      <left/>
      <right style="thick">
        <color rgb="FF5FB723"/>
      </right>
      <top/>
      <bottom style="double">
        <color rgb="FF5FB723"/>
      </bottom>
      <diagonal/>
    </border>
    <border>
      <left style="thick">
        <color rgb="FF5FB723"/>
      </left>
      <right/>
      <top/>
      <bottom style="thin">
        <color rgb="FF5FB723"/>
      </bottom>
      <diagonal/>
    </border>
    <border>
      <left/>
      <right/>
      <top/>
      <bottom style="thin">
        <color rgb="FF5FB723"/>
      </bottom>
      <diagonal/>
    </border>
    <border>
      <left/>
      <right style="thick">
        <color rgb="FF5FB723"/>
      </right>
      <top/>
      <bottom style="thin">
        <color rgb="FF5FB723"/>
      </bottom>
      <diagonal/>
    </border>
    <border>
      <left style="thick">
        <color rgb="FF5FB723"/>
      </left>
      <right/>
      <top style="thin">
        <color rgb="FF5FB723"/>
      </top>
      <bottom style="thin">
        <color rgb="FF5FB723"/>
      </bottom>
      <diagonal/>
    </border>
    <border>
      <left/>
      <right/>
      <top style="thin">
        <color rgb="FF5FB723"/>
      </top>
      <bottom style="thin">
        <color rgb="FF5FB723"/>
      </bottom>
      <diagonal/>
    </border>
    <border>
      <left/>
      <right style="thick">
        <color rgb="FF5FB723"/>
      </right>
      <top style="thin">
        <color rgb="FF5FB723"/>
      </top>
      <bottom style="thin">
        <color rgb="FF5FB723"/>
      </bottom>
      <diagonal/>
    </border>
    <border>
      <left style="thick">
        <color rgb="FF5FB723"/>
      </left>
      <right/>
      <top style="thin">
        <color rgb="FF5FB723"/>
      </top>
      <bottom style="thick">
        <color rgb="FF5FB723"/>
      </bottom>
      <diagonal/>
    </border>
    <border>
      <left/>
      <right/>
      <top style="thin">
        <color rgb="FF5FB723"/>
      </top>
      <bottom style="thick">
        <color rgb="FF5FB723"/>
      </bottom>
      <diagonal/>
    </border>
    <border>
      <left/>
      <right style="thick">
        <color rgb="FF5FB723"/>
      </right>
      <top style="thin">
        <color rgb="FF5FB723"/>
      </top>
      <bottom style="thick">
        <color rgb="FF5FB723"/>
      </bottom>
      <diagonal/>
    </border>
    <border>
      <left style="thick">
        <color rgb="FF5FB723"/>
      </left>
      <right/>
      <top style="thick">
        <color rgb="FF5FB723"/>
      </top>
      <bottom style="thin">
        <color rgb="FF5FB723"/>
      </bottom>
      <diagonal/>
    </border>
    <border>
      <left/>
      <right/>
      <top style="thick">
        <color rgb="FF5FB723"/>
      </top>
      <bottom style="thin">
        <color rgb="FF5FB723"/>
      </bottom>
      <diagonal/>
    </border>
    <border>
      <left/>
      <right style="thick">
        <color rgb="FF5FB723"/>
      </right>
      <top style="thick">
        <color rgb="FF5FB723"/>
      </top>
      <bottom style="thin">
        <color rgb="FF5FB7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4" applyNumberFormat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8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top" readingOrder="1"/>
    </xf>
    <xf numFmtId="0" fontId="4" fillId="0" borderId="16" xfId="0" applyFont="1" applyBorder="1" applyAlignment="1">
      <alignment horizont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0099FF"/>
      <color rgb="005FB723"/>
      <color rgb="004FCB23"/>
      <color rgb="0032CA08"/>
      <color rgb="006FEF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Marks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3358705161855"/>
          <c:y val="0.183009259259259"/>
          <c:w val="0.833419072615923"/>
          <c:h val="0.70959135316418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Sheet1!$Z$4:$Z$8</c:f>
              <c:numCache>
                <c:formatCode>General</c:formatCode>
                <c:ptCount val="5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124597504"/>
        <c:axId val="2124603264"/>
      </c:barChart>
      <c:catAx>
        <c:axId val="212459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4603264"/>
        <c:crosses val="autoZero"/>
        <c:auto val="1"/>
        <c:lblAlgn val="ctr"/>
        <c:lblOffset val="100"/>
        <c:noMultiLvlLbl val="0"/>
      </c:catAx>
      <c:valAx>
        <c:axId val="21246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459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5dd0ec-9f09-435e-89d5-dd774738dcf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Competition</a:t>
            </a:r>
            <a:r>
              <a:rPr lang="en-US" baseline="0"/>
              <a:t> </a:t>
            </a:r>
            <a:r>
              <a:rPr lang="en-US" sz="2000" baseline="0"/>
              <a:t>Score</a:t>
            </a:r>
            <a:endParaRPr lang="en-US"/>
          </a:p>
        </c:rich>
      </c:tx>
      <c:layout>
        <c:manualLayout>
          <c:xMode val="edge"/>
          <c:yMode val="edge"/>
          <c:x val="0.410604392024927"/>
          <c:y val="0.02445417134248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15960232820451"/>
          <c:y val="0.155153653298737"/>
          <c:w val="0.953903817548348"/>
          <c:h val="0.64053051807467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Sheet1!$M$4:$M$23</c:f>
              <c:numCache>
                <c:formatCode>General</c:formatCode>
                <c:ptCount val="20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6</c:v>
                </c:pt>
                <c:pt idx="12">
                  <c:v>1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5</c:v>
                </c:pt>
              </c:numCache>
            </c:numRef>
          </c:val>
        </c:ser>
        <c:ser>
          <c:idx val="1"/>
          <c:order val="1"/>
          <c:spPr>
            <a:solidFill>
              <a:srgbClr val="0099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Sheet1!$N$4:$N$23</c:f>
              <c:numCache>
                <c:formatCode>General</c:formatCode>
                <c:ptCount val="20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Sheet1!$O$4:$O$23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</c:ser>
        <c:ser>
          <c:idx val="3"/>
          <c:order val="3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Sheet1!$P$4:$P$23</c:f>
              <c:numCache>
                <c:formatCode>General</c:formatCode>
                <c:ptCount val="20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18</c:v>
                </c:pt>
                <c:pt idx="4">
                  <c:v>13</c:v>
                </c:pt>
                <c:pt idx="5">
                  <c:v>15</c:v>
                </c:pt>
                <c:pt idx="6">
                  <c:v>14</c:v>
                </c:pt>
                <c:pt idx="7">
                  <c:v>19</c:v>
                </c:pt>
                <c:pt idx="8">
                  <c:v>13</c:v>
                </c:pt>
                <c:pt idx="9">
                  <c:v>12</c:v>
                </c:pt>
                <c:pt idx="10">
                  <c:v>10</c:v>
                </c:pt>
                <c:pt idx="11">
                  <c:v>12</c:v>
                </c:pt>
                <c:pt idx="12">
                  <c:v>8</c:v>
                </c:pt>
                <c:pt idx="13">
                  <c:v>16</c:v>
                </c:pt>
                <c:pt idx="14">
                  <c:v>14</c:v>
                </c:pt>
                <c:pt idx="15">
                  <c:v>17</c:v>
                </c:pt>
                <c:pt idx="16">
                  <c:v>16</c:v>
                </c:pt>
                <c:pt idx="17">
                  <c:v>11</c:v>
                </c:pt>
                <c:pt idx="18">
                  <c:v>11</c:v>
                </c:pt>
                <c:pt idx="19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598944"/>
        <c:axId val="2124606144"/>
      </c:barChart>
      <c:catAx>
        <c:axId val="21245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4606144"/>
        <c:crosses val="autoZero"/>
        <c:auto val="1"/>
        <c:lblAlgn val="ctr"/>
        <c:lblOffset val="100"/>
        <c:noMultiLvlLbl val="0"/>
      </c:catAx>
      <c:valAx>
        <c:axId val="21246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45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899809841924878"/>
          <c:y val="0.843464807350239"/>
          <c:w val="0.850341646377342"/>
          <c:h val="0.12711335417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059f95-5547-4e08-89ed-b511dc59e467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Applicant data  Age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Sheet1!$A$3:$C$35</c15:sqref>
                  </c15:fullRef>
                  <c15:levelRef>
                    <c15:sqref>Sheet1!$B$3:$B$35</c15:sqref>
                  </c15:levelRef>
                </c:ext>
              </c:extLst>
              <c:f>Sheet1!$B$3:$B$35</c:f>
              <c:strCache>
                <c:ptCount val="33"/>
                <c:pt idx="1">
                  <c:v>Ali Khan</c:v>
                </c:pt>
                <c:pt idx="2">
                  <c:v>Ayesha Malik</c:v>
                </c:pt>
                <c:pt idx="3">
                  <c:v>Hassan Raza</c:v>
                </c:pt>
                <c:pt idx="4">
                  <c:v>Fatima Noor</c:v>
                </c:pt>
                <c:pt idx="5">
                  <c:v>Usman Ahmed</c:v>
                </c:pt>
                <c:pt idx="6">
                  <c:v>Sara Sheikh</c:v>
                </c:pt>
                <c:pt idx="7">
                  <c:v>Bilal Hussain</c:v>
                </c:pt>
                <c:pt idx="8">
                  <c:v>Hira Iqbal</c:v>
                </c:pt>
                <c:pt idx="9">
                  <c:v>Saad Ali</c:v>
                </c:pt>
                <c:pt idx="10">
                  <c:v>Zainab Rauf</c:v>
                </c:pt>
                <c:pt idx="11">
                  <c:v>Taiba Tariq</c:v>
                </c:pt>
                <c:pt idx="12">
                  <c:v>Maham Siddiqui</c:v>
                </c:pt>
                <c:pt idx="13">
                  <c:v>Danish Mehmood</c:v>
                </c:pt>
                <c:pt idx="14">
                  <c:v>Noor Fatima</c:v>
                </c:pt>
                <c:pt idx="15">
                  <c:v>Hamza Tariq</c:v>
                </c:pt>
                <c:pt idx="16">
                  <c:v>Laiba Khalid</c:v>
                </c:pt>
                <c:pt idx="17">
                  <c:v>Shahzaib Khan</c:v>
                </c:pt>
                <c:pt idx="18">
                  <c:v>Anum Yousaf</c:v>
                </c:pt>
                <c:pt idx="19">
                  <c:v>Ibrahim Shah</c:v>
                </c:pt>
                <c:pt idx="20">
                  <c:v>Shariq Khan</c:v>
                </c:pt>
                <c:pt idx="21">
                  <c:v>Humna muhammad</c:v>
                </c:pt>
                <c:pt idx="22">
                  <c:v>Umaima Ashraf</c:v>
                </c:pt>
                <c:pt idx="23">
                  <c:v>Sahar</c:v>
                </c:pt>
                <c:pt idx="24">
                  <c:v>Hafsa</c:v>
                </c:pt>
                <c:pt idx="25">
                  <c:v>Iqra Faiz</c:v>
                </c:pt>
                <c:pt idx="26">
                  <c:v>Zaineb</c:v>
                </c:pt>
                <c:pt idx="27">
                  <c:v>Ghazanfar</c:v>
                </c:pt>
                <c:pt idx="28">
                  <c:v>Rabia Iftikhar</c:v>
                </c:pt>
                <c:pt idx="29">
                  <c:v>Fadil Muzahir</c:v>
                </c:pt>
                <c:pt idx="30">
                  <c:v>Sameera</c:v>
                </c:pt>
                <c:pt idx="31">
                  <c:v>Bushra</c:v>
                </c:pt>
                <c:pt idx="32">
                  <c:v>Amna batool</c:v>
                </c:pt>
              </c:strCache>
            </c:strRef>
          </c:cat>
          <c:val>
            <c:numRef>
              <c:f>Sheet1!$D$3:$D$35</c:f>
              <c:numCache>
                <c:formatCode>General</c:formatCode>
                <c:ptCount val="33"/>
                <c:pt idx="1">
                  <c:v>19</c:v>
                </c:pt>
                <c:pt idx="2">
                  <c:v>21</c:v>
                </c:pt>
                <c:pt idx="3">
                  <c:v>22</c:v>
                </c:pt>
                <c:pt idx="4">
                  <c:v>18</c:v>
                </c:pt>
                <c:pt idx="5">
                  <c:v>25</c:v>
                </c:pt>
                <c:pt idx="6">
                  <c:v>20</c:v>
                </c:pt>
                <c:pt idx="7">
                  <c:v>35</c:v>
                </c:pt>
                <c:pt idx="8">
                  <c:v>17</c:v>
                </c:pt>
                <c:pt idx="9">
                  <c:v>26</c:v>
                </c:pt>
                <c:pt idx="10">
                  <c:v>19</c:v>
                </c:pt>
                <c:pt idx="11">
                  <c:v>20</c:v>
                </c:pt>
                <c:pt idx="12">
                  <c:v>22</c:v>
                </c:pt>
                <c:pt idx="13">
                  <c:v>30</c:v>
                </c:pt>
                <c:pt idx="14">
                  <c:v>18</c:v>
                </c:pt>
                <c:pt idx="15">
                  <c:v>27</c:v>
                </c:pt>
                <c:pt idx="16">
                  <c:v>20</c:v>
                </c:pt>
                <c:pt idx="17">
                  <c:v>21</c:v>
                </c:pt>
                <c:pt idx="18">
                  <c:v>24</c:v>
                </c:pt>
                <c:pt idx="19">
                  <c:v>29</c:v>
                </c:pt>
                <c:pt idx="20">
                  <c:v>16</c:v>
                </c:pt>
                <c:pt idx="21">
                  <c:v>24</c:v>
                </c:pt>
                <c:pt idx="22">
                  <c:v>31</c:v>
                </c:pt>
                <c:pt idx="23">
                  <c:v>19</c:v>
                </c:pt>
                <c:pt idx="24">
                  <c:v>22</c:v>
                </c:pt>
                <c:pt idx="25">
                  <c:v>26</c:v>
                </c:pt>
                <c:pt idx="26">
                  <c:v>16</c:v>
                </c:pt>
                <c:pt idx="27">
                  <c:v>32</c:v>
                </c:pt>
                <c:pt idx="28">
                  <c:v>29</c:v>
                </c:pt>
                <c:pt idx="29">
                  <c:v>16</c:v>
                </c:pt>
                <c:pt idx="30">
                  <c:v>24</c:v>
                </c:pt>
                <c:pt idx="31">
                  <c:v>31</c:v>
                </c:pt>
                <c:pt idx="32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3631568"/>
        <c:axId val="2736253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Sheet1!$E$1:$E$2</c15:sqref>
                        </c15:formulaRef>
                      </c:ext>
                    </c:extLst>
                    <c:strCache>
                      <c:ptCount val="1"/>
                      <c:pt idx="0">
                        <c:v>Applicant data  Categories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8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hade val="8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shade val="8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Sheet1!$A$3:$C$35</c15:sqref>
                        </c15:fullRef>
                        <c15:levelRef>
                          <c15:sqref>Sheet1!$B$3:$B$35</c15:sqref>
                        </c15:levelRef>
                        <c15:formulaRef>
                          <c15:sqref>Sheet1!$B$3:$B$35</c15:sqref>
                        </c15:formulaRef>
                      </c:ext>
                    </c:extLst>
                    <c:strCache>
                      <c:ptCount val="33"/>
                      <c:pt idx="1">
                        <c:v>Ali Khan</c:v>
                      </c:pt>
                      <c:pt idx="2">
                        <c:v>Ayesha Malik</c:v>
                      </c:pt>
                      <c:pt idx="3">
                        <c:v>Hassan Raza</c:v>
                      </c:pt>
                      <c:pt idx="4">
                        <c:v>Fatima Noor</c:v>
                      </c:pt>
                      <c:pt idx="5">
                        <c:v>Usman Ahmed</c:v>
                      </c:pt>
                      <c:pt idx="6">
                        <c:v>Sara Sheikh</c:v>
                      </c:pt>
                      <c:pt idx="7">
                        <c:v>Bilal Hussain</c:v>
                      </c:pt>
                      <c:pt idx="8">
                        <c:v>Hira Iqbal</c:v>
                      </c:pt>
                      <c:pt idx="9">
                        <c:v>Saad Ali</c:v>
                      </c:pt>
                      <c:pt idx="10">
                        <c:v>Zainab Rauf</c:v>
                      </c:pt>
                      <c:pt idx="11">
                        <c:v>Taiba Tariq</c:v>
                      </c:pt>
                      <c:pt idx="12">
                        <c:v>Maham Siddiqui</c:v>
                      </c:pt>
                      <c:pt idx="13">
                        <c:v>Danish Mehmood</c:v>
                      </c:pt>
                      <c:pt idx="14">
                        <c:v>Noor Fatima</c:v>
                      </c:pt>
                      <c:pt idx="15">
                        <c:v>Hamza Tariq</c:v>
                      </c:pt>
                      <c:pt idx="16">
                        <c:v>Laiba Khalid</c:v>
                      </c:pt>
                      <c:pt idx="17">
                        <c:v>Shahzaib Khan</c:v>
                      </c:pt>
                      <c:pt idx="18">
                        <c:v>Anum Yousaf</c:v>
                      </c:pt>
                      <c:pt idx="19">
                        <c:v>Ibrahim Shah</c:v>
                      </c:pt>
                      <c:pt idx="20">
                        <c:v>Shariq Khan</c:v>
                      </c:pt>
                      <c:pt idx="21">
                        <c:v>Humna muhammad</c:v>
                      </c:pt>
                      <c:pt idx="22">
                        <c:v>Umaima Ashraf</c:v>
                      </c:pt>
                      <c:pt idx="23">
                        <c:v>Sahar</c:v>
                      </c:pt>
                      <c:pt idx="24">
                        <c:v>Hafsa</c:v>
                      </c:pt>
                      <c:pt idx="25">
                        <c:v>Iqra Faiz</c:v>
                      </c:pt>
                      <c:pt idx="26">
                        <c:v>Zaineb</c:v>
                      </c:pt>
                      <c:pt idx="27">
                        <c:v>Ghazanfar</c:v>
                      </c:pt>
                      <c:pt idx="28">
                        <c:v>Rabia Iftikhar</c:v>
                      </c:pt>
                      <c:pt idx="29">
                        <c:v>Fadil Muzahir</c:v>
                      </c:pt>
                      <c:pt idx="30">
                        <c:v>Sameera</c:v>
                      </c:pt>
                      <c:pt idx="31">
                        <c:v>Bushra</c:v>
                      </c:pt>
                      <c:pt idx="32">
                        <c:v>Amna batool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Sheet1!$E$3:$E$35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Sheet1!$F$1:$F$2</c15:sqref>
                        </c15:formulaRef>
                      </c:ext>
                    </c:extLst>
                    <c:strCache>
                      <c:ptCount val="1"/>
                      <c:pt idx="0">
                        <c:v>Applicant data  Dish Name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tint val="8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tint val="8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tint val="8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Sheet1!$A$3:$C$35</c15:sqref>
                        </c15:fullRef>
                        <c15:levelRef>
                          <c15:sqref>Sheet1!$B$3:$B$35</c15:sqref>
                        </c15:levelRef>
                        <c15:formulaRef>
                          <c15:sqref>Sheet1!$B$3:$B$35</c15:sqref>
                        </c15:formulaRef>
                      </c:ext>
                    </c:extLst>
                    <c:strCache>
                      <c:ptCount val="33"/>
                      <c:pt idx="1">
                        <c:v>Ali Khan</c:v>
                      </c:pt>
                      <c:pt idx="2">
                        <c:v>Ayesha Malik</c:v>
                      </c:pt>
                      <c:pt idx="3">
                        <c:v>Hassan Raza</c:v>
                      </c:pt>
                      <c:pt idx="4">
                        <c:v>Fatima Noor</c:v>
                      </c:pt>
                      <c:pt idx="5">
                        <c:v>Usman Ahmed</c:v>
                      </c:pt>
                      <c:pt idx="6">
                        <c:v>Sara Sheikh</c:v>
                      </c:pt>
                      <c:pt idx="7">
                        <c:v>Bilal Hussain</c:v>
                      </c:pt>
                      <c:pt idx="8">
                        <c:v>Hira Iqbal</c:v>
                      </c:pt>
                      <c:pt idx="9">
                        <c:v>Saad Ali</c:v>
                      </c:pt>
                      <c:pt idx="10">
                        <c:v>Zainab Rauf</c:v>
                      </c:pt>
                      <c:pt idx="11">
                        <c:v>Taiba Tariq</c:v>
                      </c:pt>
                      <c:pt idx="12">
                        <c:v>Maham Siddiqui</c:v>
                      </c:pt>
                      <c:pt idx="13">
                        <c:v>Danish Mehmood</c:v>
                      </c:pt>
                      <c:pt idx="14">
                        <c:v>Noor Fatima</c:v>
                      </c:pt>
                      <c:pt idx="15">
                        <c:v>Hamza Tariq</c:v>
                      </c:pt>
                      <c:pt idx="16">
                        <c:v>Laiba Khalid</c:v>
                      </c:pt>
                      <c:pt idx="17">
                        <c:v>Shahzaib Khan</c:v>
                      </c:pt>
                      <c:pt idx="18">
                        <c:v>Anum Yousaf</c:v>
                      </c:pt>
                      <c:pt idx="19">
                        <c:v>Ibrahim Shah</c:v>
                      </c:pt>
                      <c:pt idx="20">
                        <c:v>Shariq Khan</c:v>
                      </c:pt>
                      <c:pt idx="21">
                        <c:v>Humna muhammad</c:v>
                      </c:pt>
                      <c:pt idx="22">
                        <c:v>Umaima Ashraf</c:v>
                      </c:pt>
                      <c:pt idx="23">
                        <c:v>Sahar</c:v>
                      </c:pt>
                      <c:pt idx="24">
                        <c:v>Hafsa</c:v>
                      </c:pt>
                      <c:pt idx="25">
                        <c:v>Iqra Faiz</c:v>
                      </c:pt>
                      <c:pt idx="26">
                        <c:v>Zaineb</c:v>
                      </c:pt>
                      <c:pt idx="27">
                        <c:v>Ghazanfar</c:v>
                      </c:pt>
                      <c:pt idx="28">
                        <c:v>Rabia Iftikhar</c:v>
                      </c:pt>
                      <c:pt idx="29">
                        <c:v>Fadil Muzahir</c:v>
                      </c:pt>
                      <c:pt idx="30">
                        <c:v>Sameera</c:v>
                      </c:pt>
                      <c:pt idx="31">
                        <c:v>Bushra</c:v>
                      </c:pt>
                      <c:pt idx="32">
                        <c:v>Amna batool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Sheet1!$F$3:$F$35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Sheet1!$G$1:$G$2</c15:sqref>
                        </c15:formulaRef>
                      </c:ext>
                    </c:extLst>
                    <c:strCache>
                      <c:ptCount val="1"/>
                      <c:pt idx="0">
                        <c:v>Applicant data  Acceptance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tint val="58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tint val="58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tint val="58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Sheet1!$A$3:$C$35</c15:sqref>
                        </c15:fullRef>
                        <c15:levelRef>
                          <c15:sqref>Sheet1!$B$3:$B$35</c15:sqref>
                        </c15:levelRef>
                        <c15:formulaRef>
                          <c15:sqref>Sheet1!$B$3:$B$35</c15:sqref>
                        </c15:formulaRef>
                      </c:ext>
                    </c:extLst>
                    <c:strCache>
                      <c:ptCount val="33"/>
                      <c:pt idx="1">
                        <c:v>Ali Khan</c:v>
                      </c:pt>
                      <c:pt idx="2">
                        <c:v>Ayesha Malik</c:v>
                      </c:pt>
                      <c:pt idx="3">
                        <c:v>Hassan Raza</c:v>
                      </c:pt>
                      <c:pt idx="4">
                        <c:v>Fatima Noor</c:v>
                      </c:pt>
                      <c:pt idx="5">
                        <c:v>Usman Ahmed</c:v>
                      </c:pt>
                      <c:pt idx="6">
                        <c:v>Sara Sheikh</c:v>
                      </c:pt>
                      <c:pt idx="7">
                        <c:v>Bilal Hussain</c:v>
                      </c:pt>
                      <c:pt idx="8">
                        <c:v>Hira Iqbal</c:v>
                      </c:pt>
                      <c:pt idx="9">
                        <c:v>Saad Ali</c:v>
                      </c:pt>
                      <c:pt idx="10">
                        <c:v>Zainab Rauf</c:v>
                      </c:pt>
                      <c:pt idx="11">
                        <c:v>Taiba Tariq</c:v>
                      </c:pt>
                      <c:pt idx="12">
                        <c:v>Maham Siddiqui</c:v>
                      </c:pt>
                      <c:pt idx="13">
                        <c:v>Danish Mehmood</c:v>
                      </c:pt>
                      <c:pt idx="14">
                        <c:v>Noor Fatima</c:v>
                      </c:pt>
                      <c:pt idx="15">
                        <c:v>Hamza Tariq</c:v>
                      </c:pt>
                      <c:pt idx="16">
                        <c:v>Laiba Khalid</c:v>
                      </c:pt>
                      <c:pt idx="17">
                        <c:v>Shahzaib Khan</c:v>
                      </c:pt>
                      <c:pt idx="18">
                        <c:v>Anum Yousaf</c:v>
                      </c:pt>
                      <c:pt idx="19">
                        <c:v>Ibrahim Shah</c:v>
                      </c:pt>
                      <c:pt idx="20">
                        <c:v>Shariq Khan</c:v>
                      </c:pt>
                      <c:pt idx="21">
                        <c:v>Humna muhammad</c:v>
                      </c:pt>
                      <c:pt idx="22">
                        <c:v>Umaima Ashraf</c:v>
                      </c:pt>
                      <c:pt idx="23">
                        <c:v>Sahar</c:v>
                      </c:pt>
                      <c:pt idx="24">
                        <c:v>Hafsa</c:v>
                      </c:pt>
                      <c:pt idx="25">
                        <c:v>Iqra Faiz</c:v>
                      </c:pt>
                      <c:pt idx="26">
                        <c:v>Zaineb</c:v>
                      </c:pt>
                      <c:pt idx="27">
                        <c:v>Ghazanfar</c:v>
                      </c:pt>
                      <c:pt idx="28">
                        <c:v>Rabia Iftikhar</c:v>
                      </c:pt>
                      <c:pt idx="29">
                        <c:v>Fadil Muzahir</c:v>
                      </c:pt>
                      <c:pt idx="30">
                        <c:v>Sameera</c:v>
                      </c:pt>
                      <c:pt idx="31">
                        <c:v>Bushra</c:v>
                      </c:pt>
                      <c:pt idx="32">
                        <c:v>Amna batool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Sheet1!$G$3:$G$35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736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625328"/>
        <c:crosses val="autoZero"/>
        <c:auto val="1"/>
        <c:lblAlgn val="ctr"/>
        <c:lblOffset val="100"/>
        <c:noMultiLvlLbl val="0"/>
      </c:catAx>
      <c:valAx>
        <c:axId val="27362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63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b0c502-9ba7-4580-b547-f6beda25c1b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Final Score</a:t>
            </a:r>
            <a:r>
              <a:rPr lang="en-US" baseline="0"/>
              <a:t> Sheet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elete val="1"/>
          </c:dLbls>
          <c:val>
            <c:numRef>
              <c:f>Sheet1!$P$4:$P$23</c:f>
              <c:numCache>
                <c:formatCode>General</c:formatCode>
                <c:ptCount val="20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18</c:v>
                </c:pt>
                <c:pt idx="4">
                  <c:v>13</c:v>
                </c:pt>
                <c:pt idx="5">
                  <c:v>15</c:v>
                </c:pt>
                <c:pt idx="6">
                  <c:v>14</c:v>
                </c:pt>
                <c:pt idx="7">
                  <c:v>19</c:v>
                </c:pt>
                <c:pt idx="8">
                  <c:v>13</c:v>
                </c:pt>
                <c:pt idx="9">
                  <c:v>12</c:v>
                </c:pt>
                <c:pt idx="10">
                  <c:v>10</c:v>
                </c:pt>
                <c:pt idx="11">
                  <c:v>12</c:v>
                </c:pt>
                <c:pt idx="12">
                  <c:v>8</c:v>
                </c:pt>
                <c:pt idx="13">
                  <c:v>16</c:v>
                </c:pt>
                <c:pt idx="14">
                  <c:v>14</c:v>
                </c:pt>
                <c:pt idx="15">
                  <c:v>17</c:v>
                </c:pt>
                <c:pt idx="16">
                  <c:v>16</c:v>
                </c:pt>
                <c:pt idx="17">
                  <c:v>11</c:v>
                </c:pt>
                <c:pt idx="18">
                  <c:v>11</c:v>
                </c:pt>
                <c:pt idx="19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b9dcb1-62e1-43bb-8dad-23a3319bbd2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829134</xdr:colOff>
      <xdr:row>12</xdr:row>
      <xdr:rowOff>222913</xdr:rowOff>
    </xdr:from>
    <xdr:to>
      <xdr:col>26</xdr:col>
      <xdr:colOff>417341</xdr:colOff>
      <xdr:row>23</xdr:row>
      <xdr:rowOff>224328</xdr:rowOff>
    </xdr:to>
    <xdr:graphicFrame>
      <xdr:nvGraphicFramePr>
        <xdr:cNvPr id="7" name="Chart 6"/>
        <xdr:cNvGraphicFramePr/>
      </xdr:nvGraphicFramePr>
      <xdr:xfrm>
        <a:off x="23488650" y="3834765"/>
        <a:ext cx="5875020" cy="280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522005</xdr:colOff>
      <xdr:row>39</xdr:row>
      <xdr:rowOff>8533</xdr:rowOff>
    </xdr:from>
    <xdr:to>
      <xdr:col>17</xdr:col>
      <xdr:colOff>466752</xdr:colOff>
      <xdr:row>65</xdr:row>
      <xdr:rowOff>189956</xdr:rowOff>
    </xdr:to>
    <xdr:graphicFrame>
      <xdr:nvGraphicFramePr>
        <xdr:cNvPr id="8" name="Chart 7"/>
        <xdr:cNvGraphicFramePr/>
      </xdr:nvGraphicFramePr>
      <xdr:xfrm>
        <a:off x="11628120" y="10262870"/>
        <a:ext cx="9641205" cy="5134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109467</xdr:rowOff>
    </xdr:from>
    <xdr:to>
      <xdr:col>7</xdr:col>
      <xdr:colOff>119063</xdr:colOff>
      <xdr:row>64</xdr:row>
      <xdr:rowOff>54952</xdr:rowOff>
    </xdr:to>
    <xdr:graphicFrame>
      <xdr:nvGraphicFramePr>
        <xdr:cNvPr id="14" name="Chart 13"/>
        <xdr:cNvGraphicFramePr/>
      </xdr:nvGraphicFramePr>
      <xdr:xfrm>
        <a:off x="0" y="10363835"/>
        <a:ext cx="10310495" cy="4707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114300</xdr:colOff>
      <xdr:row>40</xdr:row>
      <xdr:rowOff>161764</xdr:rowOff>
    </xdr:from>
    <xdr:to>
      <xdr:col>27</xdr:col>
      <xdr:colOff>128512</xdr:colOff>
      <xdr:row>66</xdr:row>
      <xdr:rowOff>0</xdr:rowOff>
    </xdr:to>
    <xdr:graphicFrame>
      <xdr:nvGraphicFramePr>
        <xdr:cNvPr id="15" name="Chart 14"/>
        <xdr:cNvGraphicFramePr/>
      </xdr:nvGraphicFramePr>
      <xdr:xfrm>
        <a:off x="22774275" y="10606405"/>
        <a:ext cx="6910070" cy="4791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0"/>
  <sheetViews>
    <sheetView tabSelected="1" zoomScale="35" zoomScaleNormal="35" workbookViewId="0">
      <selection activeCell="AO14" sqref="AO14"/>
    </sheetView>
  </sheetViews>
  <sheetFormatPr defaultColWidth="9" defaultRowHeight="15"/>
  <cols>
    <col min="1" max="1" width="15.2857142857143" style="1" customWidth="1"/>
    <col min="2" max="2" width="23.1428571428571" style="1" customWidth="1"/>
    <col min="3" max="3" width="35.8571428571429" style="1" customWidth="1"/>
    <col min="4" max="4" width="13.8571428571429" style="1" customWidth="1"/>
    <col min="5" max="5" width="19.5714285714286" style="1" customWidth="1"/>
    <col min="6" max="6" width="27" style="1" customWidth="1"/>
    <col min="7" max="7" width="18.1428571428571" style="1" customWidth="1"/>
    <col min="8" max="8" width="13.7142857142857" style="1" customWidth="1"/>
    <col min="9" max="9" width="14.1428571428571" style="1" customWidth="1"/>
    <col min="10" max="10" width="14.8571428571429" style="1" customWidth="1"/>
    <col min="11" max="11" width="20.8571428571429" style="1" customWidth="1"/>
    <col min="12" max="12" width="21.1428571428571" style="1" customWidth="1"/>
    <col min="13" max="13" width="15.2857142857143" style="1" customWidth="1"/>
    <col min="14" max="14" width="19" style="1" customWidth="1"/>
    <col min="15" max="15" width="17" style="1" customWidth="1"/>
    <col min="16" max="16" width="14" style="1" customWidth="1"/>
    <col min="17" max="19" width="9.14285714285714" style="1"/>
    <col min="20" max="20" width="9.57142857142857" style="1" customWidth="1"/>
    <col min="21" max="21" width="15" style="1" customWidth="1"/>
    <col min="22" max="22" width="13.1428571428571" style="1" customWidth="1"/>
    <col min="23" max="23" width="12.4285714285714" style="1" customWidth="1"/>
    <col min="24" max="24" width="14.1428571428571" style="1" customWidth="1"/>
    <col min="25" max="25" width="26.8571428571429" style="1" customWidth="1"/>
    <col min="26" max="26" width="12.7142857142857" style="1" customWidth="1"/>
    <col min="27" max="16384" width="9.14285714285714" style="1"/>
  </cols>
  <sheetData>
    <row r="1" ht="35.25" customHeight="1" spans="1:26">
      <c r="A1" s="2" t="s">
        <v>0</v>
      </c>
      <c r="B1" s="3"/>
      <c r="C1" s="3"/>
      <c r="D1" s="3"/>
      <c r="E1" s="3"/>
      <c r="F1" s="3"/>
      <c r="G1" s="4"/>
      <c r="J1" s="29" t="s">
        <v>1</v>
      </c>
      <c r="K1" s="3"/>
      <c r="L1" s="3"/>
      <c r="M1" s="3"/>
      <c r="N1" s="3"/>
      <c r="O1" s="3"/>
      <c r="P1" s="4"/>
      <c r="V1" s="45" t="s">
        <v>2</v>
      </c>
      <c r="W1" s="46"/>
      <c r="X1" s="46"/>
      <c r="Y1" s="46"/>
      <c r="Z1" s="58"/>
    </row>
    <row r="2" ht="25.5" customHeight="1" spans="1:26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 t="s">
        <v>9</v>
      </c>
      <c r="J2" s="30" t="s">
        <v>10</v>
      </c>
      <c r="K2" s="6" t="s">
        <v>4</v>
      </c>
      <c r="L2" s="31" t="s">
        <v>11</v>
      </c>
      <c r="M2" s="6" t="s">
        <v>12</v>
      </c>
      <c r="N2" s="6"/>
      <c r="O2" s="6"/>
      <c r="P2" s="32" t="s">
        <v>13</v>
      </c>
      <c r="V2" s="47" t="s">
        <v>14</v>
      </c>
      <c r="W2" s="48" t="s">
        <v>10</v>
      </c>
      <c r="X2" s="48" t="s">
        <v>15</v>
      </c>
      <c r="Y2" s="48" t="s">
        <v>5</v>
      </c>
      <c r="Z2" s="59" t="s">
        <v>16</v>
      </c>
    </row>
    <row r="3" ht="42.75" customHeight="1" spans="1:26">
      <c r="A3" s="8"/>
      <c r="B3" s="9"/>
      <c r="C3" s="9"/>
      <c r="D3" s="9"/>
      <c r="E3" s="9"/>
      <c r="F3" s="9"/>
      <c r="G3" s="10"/>
      <c r="J3" s="33"/>
      <c r="K3" s="9"/>
      <c r="L3" s="34"/>
      <c r="M3" s="34" t="s">
        <v>17</v>
      </c>
      <c r="N3" s="34" t="s">
        <v>18</v>
      </c>
      <c r="O3" s="34" t="s">
        <v>19</v>
      </c>
      <c r="P3" s="35"/>
      <c r="V3" s="47"/>
      <c r="W3" s="48"/>
      <c r="X3" s="48"/>
      <c r="Y3" s="48"/>
      <c r="Z3" s="59"/>
    </row>
    <row r="4" ht="20.1" customHeight="1" spans="1:26">
      <c r="A4" s="11">
        <v>1</v>
      </c>
      <c r="B4" s="12" t="s">
        <v>20</v>
      </c>
      <c r="C4" s="12" t="s">
        <v>21</v>
      </c>
      <c r="D4" s="12">
        <v>19</v>
      </c>
      <c r="E4" s="12" t="s">
        <v>22</v>
      </c>
      <c r="F4" s="12" t="s">
        <v>23</v>
      </c>
      <c r="G4" s="13" t="s">
        <v>24</v>
      </c>
      <c r="J4" s="11" t="s">
        <v>25</v>
      </c>
      <c r="K4" s="12" t="s">
        <v>20</v>
      </c>
      <c r="L4" s="12" t="s">
        <v>23</v>
      </c>
      <c r="M4" s="12">
        <v>7</v>
      </c>
      <c r="N4" s="36">
        <v>5</v>
      </c>
      <c r="O4" s="12">
        <v>1</v>
      </c>
      <c r="P4" s="13">
        <f>+SUM(M4:O4)</f>
        <v>13</v>
      </c>
      <c r="V4" s="49">
        <v>1</v>
      </c>
      <c r="W4" s="50" t="s">
        <v>26</v>
      </c>
      <c r="X4" s="51" t="s">
        <v>27</v>
      </c>
      <c r="Y4" s="50" t="s">
        <v>28</v>
      </c>
      <c r="Z4" s="60">
        <v>19</v>
      </c>
    </row>
    <row r="5" ht="20.1" customHeight="1" spans="1:26">
      <c r="A5" s="14">
        <v>2</v>
      </c>
      <c r="B5" s="15" t="s">
        <v>29</v>
      </c>
      <c r="C5" s="15" t="s">
        <v>30</v>
      </c>
      <c r="D5" s="15">
        <v>21</v>
      </c>
      <c r="E5" s="15" t="s">
        <v>31</v>
      </c>
      <c r="F5" s="15" t="s">
        <v>32</v>
      </c>
      <c r="G5" s="16" t="s">
        <v>33</v>
      </c>
      <c r="J5" s="14" t="s">
        <v>34</v>
      </c>
      <c r="K5" s="15" t="s">
        <v>35</v>
      </c>
      <c r="L5" s="15" t="s">
        <v>36</v>
      </c>
      <c r="M5" s="15">
        <v>5</v>
      </c>
      <c r="N5" s="37">
        <v>4</v>
      </c>
      <c r="O5" s="15">
        <v>5</v>
      </c>
      <c r="P5" s="16">
        <f t="shared" ref="P5:P23" si="0">SUM(M5:O5)</f>
        <v>14</v>
      </c>
      <c r="V5" s="52">
        <v>2</v>
      </c>
      <c r="W5" s="53" t="s">
        <v>37</v>
      </c>
      <c r="X5" s="54" t="s">
        <v>38</v>
      </c>
      <c r="Y5" s="53" t="s">
        <v>39</v>
      </c>
      <c r="Z5" s="61">
        <v>18</v>
      </c>
    </row>
    <row r="6" ht="20.1" customHeight="1" spans="1:26">
      <c r="A6" s="17">
        <v>3</v>
      </c>
      <c r="B6" s="18" t="s">
        <v>35</v>
      </c>
      <c r="C6" s="18" t="s">
        <v>40</v>
      </c>
      <c r="D6" s="18">
        <v>22</v>
      </c>
      <c r="E6" s="19" t="s">
        <v>22</v>
      </c>
      <c r="F6" s="18" t="s">
        <v>36</v>
      </c>
      <c r="G6" s="20" t="s">
        <v>24</v>
      </c>
      <c r="J6" s="17" t="s">
        <v>41</v>
      </c>
      <c r="K6" s="18" t="s">
        <v>42</v>
      </c>
      <c r="L6" s="18" t="s">
        <v>43</v>
      </c>
      <c r="M6" s="18">
        <v>3</v>
      </c>
      <c r="N6" s="38">
        <v>6</v>
      </c>
      <c r="O6" s="18">
        <v>5</v>
      </c>
      <c r="P6" s="20">
        <f t="shared" si="0"/>
        <v>14</v>
      </c>
      <c r="V6" s="49">
        <v>3</v>
      </c>
      <c r="W6" s="50" t="s">
        <v>44</v>
      </c>
      <c r="X6" s="50" t="s">
        <v>45</v>
      </c>
      <c r="Y6" s="51" t="s">
        <v>46</v>
      </c>
      <c r="Z6" s="60">
        <v>17</v>
      </c>
    </row>
    <row r="7" ht="20.1" customHeight="1" spans="1:26">
      <c r="A7" s="14">
        <v>4</v>
      </c>
      <c r="B7" s="15" t="s">
        <v>42</v>
      </c>
      <c r="C7" s="15" t="s">
        <v>47</v>
      </c>
      <c r="D7" s="15">
        <v>18</v>
      </c>
      <c r="E7" s="21" t="s">
        <v>22</v>
      </c>
      <c r="F7" s="15" t="s">
        <v>43</v>
      </c>
      <c r="G7" s="16" t="s">
        <v>24</v>
      </c>
      <c r="J7" s="14" t="s">
        <v>37</v>
      </c>
      <c r="K7" s="15" t="s">
        <v>38</v>
      </c>
      <c r="L7" s="15" t="s">
        <v>48</v>
      </c>
      <c r="M7" s="15">
        <v>7</v>
      </c>
      <c r="N7" s="37">
        <v>5</v>
      </c>
      <c r="O7" s="15">
        <v>6</v>
      </c>
      <c r="P7" s="16">
        <f t="shared" si="0"/>
        <v>18</v>
      </c>
      <c r="V7" s="52">
        <v>4</v>
      </c>
      <c r="W7" s="53" t="s">
        <v>49</v>
      </c>
      <c r="X7" s="53" t="s">
        <v>50</v>
      </c>
      <c r="Y7" s="53" t="s">
        <v>51</v>
      </c>
      <c r="Z7" s="61">
        <v>16</v>
      </c>
    </row>
    <row r="8" ht="20.1" customHeight="1" spans="1:26">
      <c r="A8" s="17">
        <v>5</v>
      </c>
      <c r="B8" s="18" t="s">
        <v>52</v>
      </c>
      <c r="C8" s="18" t="s">
        <v>53</v>
      </c>
      <c r="D8" s="18">
        <v>25</v>
      </c>
      <c r="E8" s="18" t="s">
        <v>31</v>
      </c>
      <c r="F8" s="18" t="s">
        <v>54</v>
      </c>
      <c r="G8" s="20" t="s">
        <v>33</v>
      </c>
      <c r="J8" s="17" t="s">
        <v>55</v>
      </c>
      <c r="K8" s="18" t="s">
        <v>56</v>
      </c>
      <c r="L8" s="18" t="s">
        <v>54</v>
      </c>
      <c r="M8" s="18">
        <v>4</v>
      </c>
      <c r="N8" s="38">
        <v>4</v>
      </c>
      <c r="O8" s="18">
        <v>5</v>
      </c>
      <c r="P8" s="20">
        <f t="shared" si="0"/>
        <v>13</v>
      </c>
      <c r="V8" s="55">
        <v>5</v>
      </c>
      <c r="W8" s="56" t="s">
        <v>57</v>
      </c>
      <c r="X8" s="56" t="s">
        <v>58</v>
      </c>
      <c r="Y8" s="56" t="s">
        <v>59</v>
      </c>
      <c r="Z8" s="62">
        <v>16</v>
      </c>
    </row>
    <row r="9" ht="20.1" customHeight="1" spans="1:19">
      <c r="A9" s="14">
        <v>6</v>
      </c>
      <c r="B9" s="15" t="s">
        <v>38</v>
      </c>
      <c r="C9" s="15" t="s">
        <v>60</v>
      </c>
      <c r="D9" s="15">
        <v>20</v>
      </c>
      <c r="E9" s="21" t="s">
        <v>22</v>
      </c>
      <c r="F9" s="15" t="s">
        <v>48</v>
      </c>
      <c r="G9" s="16" t="s">
        <v>24</v>
      </c>
      <c r="J9" s="14" t="s">
        <v>61</v>
      </c>
      <c r="K9" s="15" t="s">
        <v>62</v>
      </c>
      <c r="L9" s="15" t="s">
        <v>63</v>
      </c>
      <c r="M9" s="15">
        <v>8</v>
      </c>
      <c r="N9" s="37">
        <v>3</v>
      </c>
      <c r="O9" s="15">
        <v>4</v>
      </c>
      <c r="P9" s="16">
        <f t="shared" si="0"/>
        <v>15</v>
      </c>
      <c r="Q9" s="57"/>
      <c r="R9" s="57"/>
      <c r="S9" s="57"/>
    </row>
    <row r="10" ht="20.1" customHeight="1" spans="1:16">
      <c r="A10" s="17">
        <v>7</v>
      </c>
      <c r="B10" s="18" t="s">
        <v>56</v>
      </c>
      <c r="C10" s="18" t="s">
        <v>64</v>
      </c>
      <c r="D10" s="18">
        <v>35</v>
      </c>
      <c r="E10" s="19" t="s">
        <v>65</v>
      </c>
      <c r="F10" s="18" t="s">
        <v>43</v>
      </c>
      <c r="G10" s="20" t="s">
        <v>24</v>
      </c>
      <c r="J10" s="17" t="s">
        <v>66</v>
      </c>
      <c r="K10" s="18" t="s">
        <v>67</v>
      </c>
      <c r="L10" s="18" t="s">
        <v>68</v>
      </c>
      <c r="M10" s="18">
        <v>6</v>
      </c>
      <c r="N10" s="38">
        <v>5</v>
      </c>
      <c r="O10" s="18">
        <v>3</v>
      </c>
      <c r="P10" s="20">
        <f t="shared" si="0"/>
        <v>14</v>
      </c>
    </row>
    <row r="11" ht="20.1" customHeight="1" spans="1:16">
      <c r="A11" s="14">
        <v>8</v>
      </c>
      <c r="B11" s="15" t="s">
        <v>69</v>
      </c>
      <c r="C11" s="15" t="s">
        <v>60</v>
      </c>
      <c r="D11" s="15">
        <v>17</v>
      </c>
      <c r="E11" s="21" t="s">
        <v>22</v>
      </c>
      <c r="F11" s="15" t="s">
        <v>70</v>
      </c>
      <c r="G11" s="16" t="s">
        <v>33</v>
      </c>
      <c r="J11" s="14" t="s">
        <v>26</v>
      </c>
      <c r="K11" s="15" t="s">
        <v>27</v>
      </c>
      <c r="L11" s="15" t="s">
        <v>71</v>
      </c>
      <c r="M11" s="15">
        <v>8</v>
      </c>
      <c r="N11" s="37">
        <v>6</v>
      </c>
      <c r="O11" s="15">
        <v>5</v>
      </c>
      <c r="P11" s="39">
        <f t="shared" si="0"/>
        <v>19</v>
      </c>
    </row>
    <row r="12" ht="20.1" customHeight="1" spans="1:16">
      <c r="A12" s="17">
        <v>9</v>
      </c>
      <c r="B12" s="18" t="s">
        <v>62</v>
      </c>
      <c r="C12" s="18" t="s">
        <v>72</v>
      </c>
      <c r="D12" s="18">
        <v>26</v>
      </c>
      <c r="E12" s="18" t="s">
        <v>31</v>
      </c>
      <c r="F12" s="18" t="s">
        <v>63</v>
      </c>
      <c r="G12" s="20" t="s">
        <v>24</v>
      </c>
      <c r="J12" s="17" t="s">
        <v>73</v>
      </c>
      <c r="K12" s="22" t="s">
        <v>74</v>
      </c>
      <c r="L12" s="18" t="s">
        <v>75</v>
      </c>
      <c r="M12" s="18">
        <v>4</v>
      </c>
      <c r="N12" s="38">
        <v>4</v>
      </c>
      <c r="O12" s="18">
        <v>5</v>
      </c>
      <c r="P12" s="20">
        <f t="shared" si="0"/>
        <v>13</v>
      </c>
    </row>
    <row r="13" ht="20.1" customHeight="1" spans="1:16">
      <c r="A13" s="14">
        <v>10</v>
      </c>
      <c r="B13" s="15" t="s">
        <v>67</v>
      </c>
      <c r="C13" s="15" t="s">
        <v>76</v>
      </c>
      <c r="D13" s="15">
        <v>19</v>
      </c>
      <c r="E13" s="21" t="s">
        <v>22</v>
      </c>
      <c r="F13" s="15" t="s">
        <v>68</v>
      </c>
      <c r="G13" s="16" t="s">
        <v>24</v>
      </c>
      <c r="J13" s="14" t="s">
        <v>77</v>
      </c>
      <c r="K13" s="15" t="s">
        <v>78</v>
      </c>
      <c r="L13" s="15" t="s">
        <v>79</v>
      </c>
      <c r="M13" s="15">
        <v>5</v>
      </c>
      <c r="N13" s="37">
        <v>3</v>
      </c>
      <c r="O13" s="15">
        <v>4</v>
      </c>
      <c r="P13" s="16">
        <f t="shared" si="0"/>
        <v>12</v>
      </c>
    </row>
    <row r="14" ht="20.1" customHeight="1" spans="1:16">
      <c r="A14" s="17">
        <v>11</v>
      </c>
      <c r="B14" s="18" t="s">
        <v>27</v>
      </c>
      <c r="C14" s="22" t="s">
        <v>28</v>
      </c>
      <c r="D14" s="18">
        <v>20</v>
      </c>
      <c r="E14" s="18" t="s">
        <v>31</v>
      </c>
      <c r="F14" s="18" t="s">
        <v>71</v>
      </c>
      <c r="G14" s="20" t="s">
        <v>24</v>
      </c>
      <c r="J14" s="17" t="s">
        <v>80</v>
      </c>
      <c r="K14" s="18" t="s">
        <v>81</v>
      </c>
      <c r="L14" s="18" t="s">
        <v>82</v>
      </c>
      <c r="M14" s="18">
        <v>3</v>
      </c>
      <c r="N14" s="38">
        <v>4</v>
      </c>
      <c r="O14" s="18">
        <v>3</v>
      </c>
      <c r="P14" s="20">
        <f t="shared" si="0"/>
        <v>10</v>
      </c>
    </row>
    <row r="15" ht="20.1" customHeight="1" spans="1:16">
      <c r="A15" s="14">
        <v>12</v>
      </c>
      <c r="B15" s="15" t="s">
        <v>83</v>
      </c>
      <c r="C15" s="15" t="s">
        <v>84</v>
      </c>
      <c r="D15" s="15">
        <v>22</v>
      </c>
      <c r="E15" s="21" t="s">
        <v>31</v>
      </c>
      <c r="F15" s="15" t="s">
        <v>85</v>
      </c>
      <c r="G15" s="16" t="s">
        <v>33</v>
      </c>
      <c r="J15" s="14" t="s">
        <v>86</v>
      </c>
      <c r="K15" s="23" t="s">
        <v>87</v>
      </c>
      <c r="L15" s="23" t="s">
        <v>88</v>
      </c>
      <c r="M15" s="15">
        <v>6</v>
      </c>
      <c r="N15" s="37">
        <v>4</v>
      </c>
      <c r="O15" s="15">
        <v>2</v>
      </c>
      <c r="P15" s="16">
        <f t="shared" si="0"/>
        <v>12</v>
      </c>
    </row>
    <row r="16" ht="20.1" customHeight="1" spans="1:16">
      <c r="A16" s="17">
        <v>13</v>
      </c>
      <c r="B16" s="18" t="s">
        <v>89</v>
      </c>
      <c r="C16" s="18" t="s">
        <v>90</v>
      </c>
      <c r="D16" s="18">
        <v>30</v>
      </c>
      <c r="E16" s="19" t="s">
        <v>65</v>
      </c>
      <c r="F16" s="18" t="s">
        <v>91</v>
      </c>
      <c r="G16" s="20" t="s">
        <v>33</v>
      </c>
      <c r="J16" s="17" t="s">
        <v>92</v>
      </c>
      <c r="K16" s="22" t="s">
        <v>93</v>
      </c>
      <c r="L16" s="40" t="s">
        <v>91</v>
      </c>
      <c r="M16" s="18">
        <v>1</v>
      </c>
      <c r="N16" s="38">
        <v>3</v>
      </c>
      <c r="O16" s="18">
        <v>4</v>
      </c>
      <c r="P16" s="20">
        <f t="shared" si="0"/>
        <v>8</v>
      </c>
    </row>
    <row r="17" ht="20.1" customHeight="1" spans="1:19">
      <c r="A17" s="14">
        <v>14</v>
      </c>
      <c r="B17" s="15" t="s">
        <v>45</v>
      </c>
      <c r="C17" s="15" t="s">
        <v>46</v>
      </c>
      <c r="D17" s="15">
        <v>18</v>
      </c>
      <c r="E17" s="21" t="s">
        <v>31</v>
      </c>
      <c r="F17" s="15" t="s">
        <v>75</v>
      </c>
      <c r="G17" s="16" t="s">
        <v>24</v>
      </c>
      <c r="J17" s="14" t="s">
        <v>57</v>
      </c>
      <c r="K17" s="23" t="s">
        <v>58</v>
      </c>
      <c r="L17" s="41" t="s">
        <v>94</v>
      </c>
      <c r="M17" s="15">
        <v>6</v>
      </c>
      <c r="N17" s="37">
        <v>5</v>
      </c>
      <c r="O17" s="15">
        <v>5</v>
      </c>
      <c r="P17" s="16">
        <f t="shared" si="0"/>
        <v>16</v>
      </c>
      <c r="Q17" s="57"/>
      <c r="R17" s="57"/>
      <c r="S17" s="57"/>
    </row>
    <row r="18" ht="20.1" customHeight="1" spans="1:19">
      <c r="A18" s="17">
        <v>15</v>
      </c>
      <c r="B18" s="18" t="s">
        <v>78</v>
      </c>
      <c r="C18" s="18" t="s">
        <v>95</v>
      </c>
      <c r="D18" s="18">
        <v>27</v>
      </c>
      <c r="E18" s="18" t="s">
        <v>31</v>
      </c>
      <c r="F18" s="18" t="s">
        <v>79</v>
      </c>
      <c r="G18" s="20" t="s">
        <v>24</v>
      </c>
      <c r="J18" s="17" t="s">
        <v>96</v>
      </c>
      <c r="K18" s="22" t="s">
        <v>97</v>
      </c>
      <c r="L18" s="22" t="s">
        <v>98</v>
      </c>
      <c r="M18" s="18">
        <v>5</v>
      </c>
      <c r="N18" s="38">
        <v>4</v>
      </c>
      <c r="O18" s="18">
        <v>5</v>
      </c>
      <c r="P18" s="20">
        <f t="shared" si="0"/>
        <v>14</v>
      </c>
      <c r="Q18" s="57"/>
      <c r="R18" s="57"/>
      <c r="S18" s="57"/>
    </row>
    <row r="19" ht="20.1" customHeight="1" spans="1:16">
      <c r="A19" s="14">
        <v>16</v>
      </c>
      <c r="B19" s="15" t="s">
        <v>99</v>
      </c>
      <c r="C19" s="15" t="s">
        <v>100</v>
      </c>
      <c r="D19" s="15">
        <v>20</v>
      </c>
      <c r="E19" s="21" t="s">
        <v>22</v>
      </c>
      <c r="F19" s="15" t="s">
        <v>101</v>
      </c>
      <c r="G19" s="16" t="s">
        <v>33</v>
      </c>
      <c r="J19" s="14" t="s">
        <v>44</v>
      </c>
      <c r="K19" s="23" t="s">
        <v>45</v>
      </c>
      <c r="L19" s="15" t="s">
        <v>85</v>
      </c>
      <c r="M19" s="15">
        <v>7</v>
      </c>
      <c r="N19" s="37">
        <v>5</v>
      </c>
      <c r="O19" s="15">
        <v>5</v>
      </c>
      <c r="P19" s="16">
        <f t="shared" si="0"/>
        <v>17</v>
      </c>
    </row>
    <row r="20" ht="20.1" customHeight="1" spans="1:16">
      <c r="A20" s="17">
        <v>17</v>
      </c>
      <c r="B20" s="18" t="s">
        <v>102</v>
      </c>
      <c r="C20" s="18" t="s">
        <v>103</v>
      </c>
      <c r="D20" s="18">
        <v>21</v>
      </c>
      <c r="E20" s="19" t="s">
        <v>65</v>
      </c>
      <c r="F20" s="18" t="s">
        <v>82</v>
      </c>
      <c r="G20" s="20" t="s">
        <v>33</v>
      </c>
      <c r="J20" s="17" t="s">
        <v>49</v>
      </c>
      <c r="K20" s="22" t="s">
        <v>50</v>
      </c>
      <c r="L20" s="40" t="s">
        <v>104</v>
      </c>
      <c r="M20" s="22">
        <v>6</v>
      </c>
      <c r="N20" s="22">
        <v>5</v>
      </c>
      <c r="O20" s="22">
        <v>5</v>
      </c>
      <c r="P20" s="42">
        <f t="shared" si="0"/>
        <v>16</v>
      </c>
    </row>
    <row r="21" ht="20.1" customHeight="1" spans="1:16">
      <c r="A21" s="14">
        <v>18</v>
      </c>
      <c r="B21" s="15" t="s">
        <v>81</v>
      </c>
      <c r="C21" s="15" t="s">
        <v>105</v>
      </c>
      <c r="D21" s="15">
        <v>24</v>
      </c>
      <c r="E21" s="21" t="s">
        <v>22</v>
      </c>
      <c r="F21" s="15" t="s">
        <v>106</v>
      </c>
      <c r="G21" s="16" t="s">
        <v>24</v>
      </c>
      <c r="J21" s="14" t="s">
        <v>107</v>
      </c>
      <c r="K21" s="23" t="s">
        <v>108</v>
      </c>
      <c r="L21" s="15" t="s">
        <v>91</v>
      </c>
      <c r="M21" s="15">
        <v>4</v>
      </c>
      <c r="N21" s="37">
        <v>4</v>
      </c>
      <c r="O21" s="15">
        <v>3</v>
      </c>
      <c r="P21" s="16">
        <f t="shared" si="0"/>
        <v>11</v>
      </c>
    </row>
    <row r="22" ht="20.1" customHeight="1" spans="1:16">
      <c r="A22" s="17">
        <v>19</v>
      </c>
      <c r="B22" s="18" t="s">
        <v>109</v>
      </c>
      <c r="C22" s="18" t="s">
        <v>110</v>
      </c>
      <c r="D22" s="18">
        <v>29</v>
      </c>
      <c r="E22" s="18" t="s">
        <v>65</v>
      </c>
      <c r="F22" s="18" t="s">
        <v>104</v>
      </c>
      <c r="G22" s="20" t="s">
        <v>33</v>
      </c>
      <c r="J22" s="17" t="s">
        <v>111</v>
      </c>
      <c r="K22" s="22" t="s">
        <v>112</v>
      </c>
      <c r="L22" s="18" t="s">
        <v>106</v>
      </c>
      <c r="M22" s="18">
        <v>6</v>
      </c>
      <c r="N22" s="38">
        <v>2</v>
      </c>
      <c r="O22" s="18">
        <v>3</v>
      </c>
      <c r="P22" s="20">
        <f t="shared" si="0"/>
        <v>11</v>
      </c>
    </row>
    <row r="23" ht="20.1" customHeight="1" spans="1:16">
      <c r="A23" s="14">
        <v>20</v>
      </c>
      <c r="B23" s="23" t="s">
        <v>113</v>
      </c>
      <c r="C23" s="23" t="s">
        <v>114</v>
      </c>
      <c r="D23" s="23">
        <v>16</v>
      </c>
      <c r="E23" s="21" t="s">
        <v>22</v>
      </c>
      <c r="F23" s="15" t="s">
        <v>91</v>
      </c>
      <c r="G23" s="16" t="s">
        <v>33</v>
      </c>
      <c r="J23" s="24" t="s">
        <v>115</v>
      </c>
      <c r="K23" s="25" t="s">
        <v>116</v>
      </c>
      <c r="L23" s="43" t="s">
        <v>117</v>
      </c>
      <c r="M23" s="27">
        <v>5</v>
      </c>
      <c r="N23" s="44">
        <v>2</v>
      </c>
      <c r="O23" s="27">
        <v>3</v>
      </c>
      <c r="P23" s="28">
        <f t="shared" si="0"/>
        <v>10</v>
      </c>
    </row>
    <row r="24" ht="20.1" customHeight="1" spans="1:7">
      <c r="A24" s="17">
        <v>21</v>
      </c>
      <c r="B24" s="22" t="s">
        <v>87</v>
      </c>
      <c r="C24" s="22" t="s">
        <v>118</v>
      </c>
      <c r="D24" s="22">
        <v>24</v>
      </c>
      <c r="E24" s="18" t="s">
        <v>31</v>
      </c>
      <c r="F24" s="18" t="s">
        <v>106</v>
      </c>
      <c r="G24" s="20" t="s">
        <v>24</v>
      </c>
    </row>
    <row r="25" ht="20.1" customHeight="1" spans="1:7">
      <c r="A25" s="14">
        <v>22</v>
      </c>
      <c r="B25" s="23" t="s">
        <v>93</v>
      </c>
      <c r="C25" s="23" t="s">
        <v>119</v>
      </c>
      <c r="D25" s="23">
        <v>31</v>
      </c>
      <c r="E25" s="15" t="s">
        <v>65</v>
      </c>
      <c r="F25" s="15" t="s">
        <v>104</v>
      </c>
      <c r="G25" s="16" t="s">
        <v>24</v>
      </c>
    </row>
    <row r="26" ht="20.1" customHeight="1" spans="1:7">
      <c r="A26" s="17">
        <v>23</v>
      </c>
      <c r="B26" s="22" t="s">
        <v>58</v>
      </c>
      <c r="C26" s="22" t="s">
        <v>59</v>
      </c>
      <c r="D26" s="22">
        <v>19</v>
      </c>
      <c r="E26" s="19" t="s">
        <v>22</v>
      </c>
      <c r="F26" s="18" t="s">
        <v>91</v>
      </c>
      <c r="G26" s="20" t="s">
        <v>24</v>
      </c>
    </row>
    <row r="27" ht="20.1" customHeight="1" spans="1:7">
      <c r="A27" s="14">
        <v>24</v>
      </c>
      <c r="B27" s="23" t="s">
        <v>120</v>
      </c>
      <c r="C27" s="23" t="s">
        <v>121</v>
      </c>
      <c r="D27" s="23">
        <v>22</v>
      </c>
      <c r="E27" s="15" t="s">
        <v>65</v>
      </c>
      <c r="F27" s="15" t="s">
        <v>32</v>
      </c>
      <c r="G27" s="16" t="s">
        <v>33</v>
      </c>
    </row>
    <row r="28" ht="20.1" customHeight="1" spans="1:7">
      <c r="A28" s="17">
        <v>25</v>
      </c>
      <c r="B28" s="22" t="s">
        <v>97</v>
      </c>
      <c r="C28" s="22" t="s">
        <v>122</v>
      </c>
      <c r="D28" s="22">
        <v>26</v>
      </c>
      <c r="E28" s="19" t="s">
        <v>22</v>
      </c>
      <c r="F28" s="18" t="s">
        <v>36</v>
      </c>
      <c r="G28" s="20" t="s">
        <v>24</v>
      </c>
    </row>
    <row r="29" ht="20.1" customHeight="1" spans="1:7">
      <c r="A29" s="14">
        <v>26</v>
      </c>
      <c r="B29" s="23" t="s">
        <v>123</v>
      </c>
      <c r="C29" s="23" t="s">
        <v>124</v>
      </c>
      <c r="D29" s="23">
        <v>16</v>
      </c>
      <c r="E29" s="15" t="s">
        <v>31</v>
      </c>
      <c r="F29" s="15" t="s">
        <v>43</v>
      </c>
      <c r="G29" s="16" t="s">
        <v>33</v>
      </c>
    </row>
    <row r="30" ht="20.1" customHeight="1" spans="1:7">
      <c r="A30" s="17">
        <v>27</v>
      </c>
      <c r="B30" s="22" t="s">
        <v>74</v>
      </c>
      <c r="C30" s="22" t="s">
        <v>125</v>
      </c>
      <c r="D30" s="22">
        <v>32</v>
      </c>
      <c r="E30" s="19" t="s">
        <v>22</v>
      </c>
      <c r="F30" s="18" t="s">
        <v>54</v>
      </c>
      <c r="G30" s="20" t="s">
        <v>24</v>
      </c>
    </row>
    <row r="31" ht="20.1" customHeight="1" spans="1:7">
      <c r="A31" s="14">
        <v>28</v>
      </c>
      <c r="B31" s="23" t="s">
        <v>50</v>
      </c>
      <c r="C31" s="23" t="s">
        <v>119</v>
      </c>
      <c r="D31" s="15">
        <v>29</v>
      </c>
      <c r="E31" s="15" t="s">
        <v>65</v>
      </c>
      <c r="F31" s="15" t="s">
        <v>32</v>
      </c>
      <c r="G31" s="16" t="s">
        <v>24</v>
      </c>
    </row>
    <row r="32" ht="20.1" customHeight="1" spans="1:7">
      <c r="A32" s="17">
        <v>29</v>
      </c>
      <c r="B32" s="22" t="s">
        <v>126</v>
      </c>
      <c r="C32" s="22" t="s">
        <v>127</v>
      </c>
      <c r="D32" s="22">
        <v>16</v>
      </c>
      <c r="E32" s="18" t="s">
        <v>31</v>
      </c>
      <c r="F32" s="18" t="s">
        <v>104</v>
      </c>
      <c r="G32" s="20" t="s">
        <v>33</v>
      </c>
    </row>
    <row r="33" ht="20.1" customHeight="1" spans="1:7">
      <c r="A33" s="14">
        <v>30</v>
      </c>
      <c r="B33" s="23" t="s">
        <v>108</v>
      </c>
      <c r="C33" s="23" t="s">
        <v>128</v>
      </c>
      <c r="D33" s="23">
        <v>24</v>
      </c>
      <c r="E33" s="21" t="s">
        <v>22</v>
      </c>
      <c r="F33" s="15" t="s">
        <v>91</v>
      </c>
      <c r="G33" s="16" t="s">
        <v>24</v>
      </c>
    </row>
    <row r="34" ht="20.1" customHeight="1" spans="1:7">
      <c r="A34" s="17">
        <v>31</v>
      </c>
      <c r="B34" s="22" t="s">
        <v>112</v>
      </c>
      <c r="C34" s="22" t="s">
        <v>129</v>
      </c>
      <c r="D34" s="22">
        <v>31</v>
      </c>
      <c r="E34" s="18" t="s">
        <v>31</v>
      </c>
      <c r="F34" s="18" t="s">
        <v>106</v>
      </c>
      <c r="G34" s="20" t="s">
        <v>24</v>
      </c>
    </row>
    <row r="35" ht="20.1" customHeight="1" spans="1:7">
      <c r="A35" s="24">
        <v>32</v>
      </c>
      <c r="B35" s="25" t="s">
        <v>116</v>
      </c>
      <c r="C35" s="25" t="s">
        <v>130</v>
      </c>
      <c r="D35" s="25">
        <v>19</v>
      </c>
      <c r="E35" s="26" t="s">
        <v>22</v>
      </c>
      <c r="F35" s="27" t="s">
        <v>43</v>
      </c>
      <c r="G35" s="28" t="s">
        <v>24</v>
      </c>
    </row>
    <row r="36" ht="15.75"/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</sheetData>
  <mergeCells count="23">
    <mergeCell ref="A1:G1"/>
    <mergeCell ref="J1:P1"/>
    <mergeCell ref="V1:Z1"/>
    <mergeCell ref="M2:O2"/>
    <mergeCell ref="Q9:S9"/>
    <mergeCell ref="Q17:S17"/>
    <mergeCell ref="Q18:S18"/>
    <mergeCell ref="A2:A3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P2:P3"/>
    <mergeCell ref="V2:V3"/>
    <mergeCell ref="W2:W3"/>
    <mergeCell ref="X2:X3"/>
    <mergeCell ref="Y2:Y3"/>
    <mergeCell ref="Z2:Z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Khuzaima Umair</dc:creator>
  <cp:lastModifiedBy>PMYLS</cp:lastModifiedBy>
  <dcterms:created xsi:type="dcterms:W3CDTF">2026-01-01T13:54:00Z</dcterms:created>
  <dcterms:modified xsi:type="dcterms:W3CDTF">2026-01-08T03:27:09Z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8B38008C36F542FC831B2DB6BA0A31A2_12</vt:lpwstr>
  </property>
  <property fmtid="{D5CDD505-2E9C-101B-9397-08002B2CF9AE}" pid="3" name="KSOProductBuildVer">
    <vt:lpwstr>1033-12.2.0.23196</vt:lpwstr>
  </property>
</Properties>
</file>